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\documents\Projects\VBA\MagicSq\"/>
    </mc:Choice>
  </mc:AlternateContent>
  <xr:revisionPtr revIDLastSave="0" documentId="13_ncr:1_{44336C64-37CC-43EB-BDA5-B9FB2B914DC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説明" sheetId="5" r:id="rId1"/>
    <sheet name="３次" sheetId="4" r:id="rId2"/>
    <sheet name="４次" sheetId="1" r:id="rId3"/>
    <sheet name="５次" sheetId="6" r:id="rId4"/>
  </sheets>
  <functionGroups builtInGroupCount="19"/>
  <calcPr calcId="191029"/>
</workbook>
</file>

<file path=xl/calcChain.xml><?xml version="1.0" encoding="utf-8"?>
<calcChain xmlns="http://schemas.openxmlformats.org/spreadsheetml/2006/main">
  <c r="I12" i="6" l="1"/>
  <c r="J12" i="6"/>
  <c r="K12" i="6"/>
  <c r="L12" i="6"/>
  <c r="I13" i="6"/>
  <c r="J13" i="6"/>
  <c r="K13" i="6"/>
  <c r="L13" i="6"/>
  <c r="I14" i="6"/>
  <c r="J14" i="6"/>
  <c r="K14" i="6"/>
  <c r="L14" i="6"/>
  <c r="I15" i="6"/>
  <c r="J15" i="6"/>
  <c r="K15" i="6"/>
  <c r="L15" i="6"/>
  <c r="I16" i="6"/>
  <c r="J16" i="6"/>
  <c r="K16" i="6"/>
  <c r="L16" i="6"/>
  <c r="H13" i="6"/>
  <c r="H14" i="6"/>
  <c r="H15" i="6"/>
  <c r="H16" i="6"/>
  <c r="H12" i="6"/>
  <c r="C12" i="6"/>
  <c r="D12" i="6"/>
  <c r="E12" i="6"/>
  <c r="F12" i="6"/>
  <c r="C13" i="6"/>
  <c r="D13" i="6"/>
  <c r="E13" i="6"/>
  <c r="F13" i="6"/>
  <c r="C14" i="6"/>
  <c r="D14" i="6"/>
  <c r="E14" i="6"/>
  <c r="F14" i="6"/>
  <c r="C15" i="6"/>
  <c r="D15" i="6"/>
  <c r="E15" i="6"/>
  <c r="F15" i="6"/>
  <c r="C16" i="6"/>
  <c r="D16" i="6"/>
  <c r="E16" i="6"/>
  <c r="F16" i="6"/>
  <c r="B13" i="6"/>
  <c r="B14" i="6"/>
  <c r="B15" i="6"/>
  <c r="B16" i="6"/>
  <c r="B12" i="6"/>
  <c r="D11" i="4"/>
  <c r="H11" i="4" s="1"/>
  <c r="C11" i="4"/>
  <c r="G11" i="4" s="1"/>
  <c r="B11" i="4"/>
  <c r="F11" i="4" s="1"/>
  <c r="D10" i="4"/>
  <c r="H10" i="4" s="1"/>
  <c r="C10" i="4"/>
  <c r="G10" i="4" s="1"/>
  <c r="B10" i="4"/>
  <c r="F10" i="4" s="1"/>
  <c r="D9" i="4"/>
  <c r="H9" i="4" s="1"/>
  <c r="C9" i="4"/>
  <c r="G9" i="4" s="1"/>
  <c r="B9" i="4"/>
  <c r="F9" i="4" s="1"/>
  <c r="E10" i="1"/>
  <c r="J10" i="1" s="1"/>
  <c r="C10" i="1"/>
  <c r="H10" i="1" s="1"/>
  <c r="D10" i="1"/>
  <c r="I10" i="1" s="1"/>
  <c r="C11" i="1"/>
  <c r="H11" i="1" s="1"/>
  <c r="D11" i="1"/>
  <c r="I11" i="1" s="1"/>
  <c r="E11" i="1"/>
  <c r="J11" i="1" s="1"/>
  <c r="C12" i="1"/>
  <c r="H12" i="1" s="1"/>
  <c r="D12" i="1"/>
  <c r="I12" i="1" s="1"/>
  <c r="E12" i="1"/>
  <c r="J12" i="1" s="1"/>
  <c r="C13" i="1"/>
  <c r="H13" i="1" s="1"/>
  <c r="D13" i="1"/>
  <c r="I13" i="1" s="1"/>
  <c r="E13" i="1"/>
  <c r="J13" i="1" s="1"/>
  <c r="B11" i="1"/>
  <c r="G11" i="1" s="1"/>
  <c r="B12" i="1"/>
  <c r="G12" i="1" s="1"/>
  <c r="B13" i="1"/>
  <c r="G13" i="1" s="1"/>
  <c r="B10" i="1"/>
  <c r="G10" i="1" s="1"/>
  <c r="B17" i="6"/>
  <c r="C17" i="6"/>
  <c r="D17" i="6"/>
  <c r="E17" i="6"/>
  <c r="F17" i="6"/>
  <c r="G13" i="6"/>
  <c r="G15" i="6"/>
  <c r="G14" i="6"/>
  <c r="G16" i="6"/>
  <c r="G17" i="6"/>
  <c r="G12" i="6"/>
  <c r="G11" i="6"/>
  <c r="H9" i="6"/>
  <c r="I9" i="6"/>
  <c r="J9" i="6"/>
  <c r="K9" i="6"/>
  <c r="L9" i="6"/>
  <c r="M4" i="6"/>
  <c r="M5" i="6"/>
  <c r="M6" i="6"/>
  <c r="M9" i="6"/>
  <c r="M7" i="6"/>
  <c r="M8" i="6"/>
  <c r="M3" i="6"/>
  <c r="B9" i="6"/>
  <c r="C9" i="6"/>
  <c r="D9" i="6"/>
  <c r="E9" i="6"/>
  <c r="F9" i="6"/>
  <c r="G4" i="6"/>
  <c r="G8" i="6"/>
  <c r="G5" i="6"/>
  <c r="G6" i="6"/>
  <c r="G7" i="6"/>
  <c r="G9" i="6"/>
  <c r="G3" i="6"/>
  <c r="B14" i="1"/>
  <c r="C14" i="1"/>
  <c r="D14" i="1"/>
  <c r="E14" i="1"/>
  <c r="F10" i="1"/>
  <c r="F11" i="1"/>
  <c r="F13" i="1"/>
  <c r="F12" i="1"/>
  <c r="F14" i="1"/>
  <c r="F9" i="1"/>
  <c r="G8" i="1"/>
  <c r="H8" i="1"/>
  <c r="J8" i="1"/>
  <c r="I8" i="1"/>
  <c r="K4" i="1"/>
  <c r="K5" i="1"/>
  <c r="K6" i="1"/>
  <c r="K7" i="1"/>
  <c r="K8" i="1"/>
  <c r="K3" i="1"/>
  <c r="B8" i="1"/>
  <c r="E8" i="1"/>
  <c r="C8" i="1"/>
  <c r="D8" i="1"/>
  <c r="F4" i="1"/>
  <c r="F5" i="1"/>
  <c r="F8" i="1"/>
  <c r="F6" i="1"/>
  <c r="F7" i="1"/>
  <c r="F3" i="1"/>
  <c r="C7" i="4"/>
  <c r="D7" i="4"/>
  <c r="B7" i="4"/>
  <c r="E5" i="4"/>
  <c r="E7" i="4"/>
  <c r="E6" i="4"/>
  <c r="E4" i="4"/>
  <c r="E3" i="4"/>
  <c r="I3" i="4"/>
  <c r="E12" i="4"/>
  <c r="D12" i="4"/>
  <c r="E8" i="4"/>
  <c r="H7" i="4"/>
  <c r="C12" i="4"/>
  <c r="I7" i="4"/>
  <c r="I6" i="4"/>
  <c r="B12" i="4"/>
  <c r="G7" i="4"/>
  <c r="I5" i="4"/>
  <c r="E11" i="4"/>
  <c r="E9" i="4"/>
  <c r="F7" i="4"/>
  <c r="E10" i="4"/>
  <c r="I4" i="4"/>
</calcChain>
</file>

<file path=xl/sharedStrings.xml><?xml version="1.0" encoding="utf-8"?>
<sst xmlns="http://schemas.openxmlformats.org/spreadsheetml/2006/main" count="6" uniqueCount="4">
  <si>
    <t>魔方陣の種を２つ作成する。どこに作ってもいいが2つは一列を隔てて隣同士に配置する</t>
    <rPh sb="0" eb="3">
      <t>マホウジン</t>
    </rPh>
    <rPh sb="4" eb="5">
      <t>タネ</t>
    </rPh>
    <rPh sb="8" eb="10">
      <t>サクセイ</t>
    </rPh>
    <rPh sb="16" eb="17">
      <t>ツク</t>
    </rPh>
    <rPh sb="26" eb="28">
      <t>イチレツ</t>
    </rPh>
    <rPh sb="29" eb="30">
      <t>ヘダ</t>
    </rPh>
    <rPh sb="32" eb="35">
      <t>トナリドウシ</t>
    </rPh>
    <rPh sb="36" eb="38">
      <t>ハイチ</t>
    </rPh>
    <phoneticPr fontId="1"/>
  </si>
  <si>
    <t>一つは行方向、一つは列方向に合計に矛盾がないことがチェックされる</t>
    <rPh sb="0" eb="1">
      <t>ヒト</t>
    </rPh>
    <rPh sb="3" eb="4">
      <t>ギョウ</t>
    </rPh>
    <rPh sb="4" eb="6">
      <t>ホウコウ</t>
    </rPh>
    <rPh sb="7" eb="8">
      <t>ヒト</t>
    </rPh>
    <rPh sb="10" eb="11">
      <t>レツ</t>
    </rPh>
    <rPh sb="11" eb="13">
      <t>ホウコウ</t>
    </rPh>
    <rPh sb="14" eb="16">
      <t>ゴウケイ</t>
    </rPh>
    <rPh sb="17" eb="19">
      <t>ムジュン</t>
    </rPh>
    <phoneticPr fontId="1"/>
  </si>
  <si>
    <t>次魔方陣</t>
    <rPh sb="0" eb="1">
      <t>ジ</t>
    </rPh>
    <rPh sb="1" eb="4">
      <t>マホウジン</t>
    </rPh>
    <phoneticPr fontId="1"/>
  </si>
  <si>
    <t>http://www.suugaku.biz/mahouhinn/mahoujinjyugyou/index.htm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</si>
</sst>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0" fillId="0" borderId="1" xfId="0" applyBorder="1">
      <alignment vertical="center"/>
    </xf>
  </cellXfs>
  <cellStyles count="2">
    <cellStyle name="ハイパーリンク" xfId="1" builtinId="8"/>
    <cellStyle name="標準" xfId="0" builtinId="0"/>
  </cellStyles>
  <dxfs count="30"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uugaku.biz/mahouhinn/mahoujinjyugyou/index.ht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9A79-88B0-4386-A518-AF33EA2EE0F5}">
  <sheetPr codeName="Sheet5"/>
  <dimension ref="B2:B4"/>
  <sheetViews>
    <sheetView tabSelected="1" workbookViewId="0">
      <selection activeCell="R7" sqref="R7"/>
    </sheetView>
  </sheetViews>
  <sheetFormatPr defaultColWidth="3.75" defaultRowHeight="13.5" x14ac:dyDescent="0.15"/>
  <cols>
    <col min="15" max="15" width="3.5" bestFit="1" customWidth="1"/>
    <col min="18" max="18" width="4" customWidth="1"/>
    <col min="30" max="30" width="8.375" bestFit="1" customWidth="1"/>
  </cols>
  <sheetData>
    <row r="2" spans="2:2" x14ac:dyDescent="0.15">
      <c r="B2" s="1" t="s">
        <v>3</v>
      </c>
    </row>
    <row r="3" spans="2:2" x14ac:dyDescent="0.15">
      <c r="B3" t="s">
        <v>0</v>
      </c>
    </row>
    <row r="4" spans="2:2" x14ac:dyDescent="0.15">
      <c r="B4" t="s">
        <v>1</v>
      </c>
    </row>
  </sheetData>
  <phoneticPr fontId="1"/>
  <hyperlinks>
    <hyperlink ref="B2" r:id="rId1" xr:uid="{ED47F200-308A-4D9B-B228-676D91E3ADAD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C9B5-9F33-4EB9-A961-7469F9BA6CA5}">
  <sheetPr codeName="Sheet4"/>
  <dimension ref="B2:I12"/>
  <sheetViews>
    <sheetView workbookViewId="0">
      <selection activeCell="O17" sqref="O17"/>
    </sheetView>
  </sheetViews>
  <sheetFormatPr defaultColWidth="3.75" defaultRowHeight="13.5" x14ac:dyDescent="0.15"/>
  <cols>
    <col min="15" max="15" width="3.5" bestFit="1" customWidth="1"/>
    <col min="18" max="18" width="4" customWidth="1"/>
    <col min="30" max="30" width="8.375" bestFit="1" customWidth="1"/>
  </cols>
  <sheetData>
    <row r="2" spans="2:9" x14ac:dyDescent="0.15">
      <c r="B2">
        <v>4</v>
      </c>
      <c r="C2" t="s">
        <v>2</v>
      </c>
    </row>
    <row r="3" spans="2:9" x14ac:dyDescent="0.15">
      <c r="E3">
        <f>SqSum2($B$4:$D$6,E3)</f>
        <v>3</v>
      </c>
      <c r="I3">
        <f>SqSum2($F$4:$H$6,I3)</f>
        <v>3</v>
      </c>
    </row>
    <row r="4" spans="2:9" x14ac:dyDescent="0.15">
      <c r="B4" s="4">
        <v>0</v>
      </c>
      <c r="C4" s="4">
        <v>2</v>
      </c>
      <c r="D4" s="4">
        <v>1</v>
      </c>
      <c r="E4">
        <f t="shared" ref="E4:E7" si="0">SqSum2($B$4:$D$6,E4)</f>
        <v>3</v>
      </c>
      <c r="F4" s="4">
        <v>1</v>
      </c>
      <c r="G4" s="4">
        <v>2</v>
      </c>
      <c r="H4" s="4">
        <v>0</v>
      </c>
      <c r="I4">
        <f t="shared" ref="I4:I7" si="1">SqSum2($F$4:$H$6,I4)</f>
        <v>3</v>
      </c>
    </row>
    <row r="5" spans="2:9" x14ac:dyDescent="0.15">
      <c r="B5" s="4">
        <v>2</v>
      </c>
      <c r="C5" s="4">
        <v>1</v>
      </c>
      <c r="D5" s="4">
        <v>0</v>
      </c>
      <c r="E5">
        <f t="shared" si="0"/>
        <v>3</v>
      </c>
      <c r="F5" s="4">
        <v>0</v>
      </c>
      <c r="G5" s="4">
        <v>1</v>
      </c>
      <c r="H5" s="4">
        <v>2</v>
      </c>
      <c r="I5">
        <f t="shared" si="1"/>
        <v>3</v>
      </c>
    </row>
    <row r="6" spans="2:9" x14ac:dyDescent="0.15">
      <c r="B6" s="4">
        <v>1</v>
      </c>
      <c r="C6" s="4">
        <v>0</v>
      </c>
      <c r="D6" s="4">
        <v>2</v>
      </c>
      <c r="E6">
        <f t="shared" si="0"/>
        <v>3</v>
      </c>
      <c r="F6" s="4">
        <v>2</v>
      </c>
      <c r="G6" s="4">
        <v>0</v>
      </c>
      <c r="H6" s="4">
        <v>1</v>
      </c>
      <c r="I6">
        <f t="shared" si="1"/>
        <v>3</v>
      </c>
    </row>
    <row r="7" spans="2:9" x14ac:dyDescent="0.15">
      <c r="B7">
        <f t="shared" ref="B7:D7" si="2">SqSum2($B$4:$D$6,B7)</f>
        <v>3</v>
      </c>
      <c r="C7">
        <f t="shared" si="2"/>
        <v>3</v>
      </c>
      <c r="D7">
        <f t="shared" si="2"/>
        <v>3</v>
      </c>
      <c r="E7">
        <f t="shared" si="0"/>
        <v>3</v>
      </c>
      <c r="F7">
        <f t="shared" ref="F7:H7" si="3">SqSum2($F$4:$H$6,F7)</f>
        <v>3</v>
      </c>
      <c r="G7">
        <f t="shared" si="3"/>
        <v>3</v>
      </c>
      <c r="H7">
        <f t="shared" si="3"/>
        <v>3</v>
      </c>
      <c r="I7">
        <f t="shared" si="1"/>
        <v>3</v>
      </c>
    </row>
    <row r="8" spans="2:9" x14ac:dyDescent="0.15">
      <c r="E8">
        <f>SqSum2($B$9:$D$11,E8)</f>
        <v>12</v>
      </c>
    </row>
    <row r="9" spans="2:9" x14ac:dyDescent="0.15">
      <c r="B9" s="4" t="str">
        <f>_xlfn.BASE(B4+F4*3, 3, 2)</f>
        <v>10</v>
      </c>
      <c r="C9" s="4" t="str">
        <f t="shared" ref="C9:D11" si="4">_xlfn.BASE(C4+G4*3, 3, 2)</f>
        <v>22</v>
      </c>
      <c r="D9" s="4" t="str">
        <f t="shared" si="4"/>
        <v>01</v>
      </c>
      <c r="E9">
        <f t="shared" ref="E9:E12" si="5">SqSum2($B$9:$D$11,E9)</f>
        <v>12</v>
      </c>
      <c r="F9" s="4">
        <f>_xlfn.DECIMAL(B9,3)+1</f>
        <v>4</v>
      </c>
      <c r="G9" s="4">
        <f t="shared" ref="G9:H11" si="6">_xlfn.DECIMAL(C9,3)+1</f>
        <v>9</v>
      </c>
      <c r="H9" s="4">
        <f t="shared" si="6"/>
        <v>2</v>
      </c>
    </row>
    <row r="10" spans="2:9" x14ac:dyDescent="0.15">
      <c r="B10" s="4" t="str">
        <f t="shared" ref="B10:B11" si="7">_xlfn.BASE(B5+F5*3, 3, 2)</f>
        <v>02</v>
      </c>
      <c r="C10" s="4" t="str">
        <f t="shared" si="4"/>
        <v>11</v>
      </c>
      <c r="D10" s="4" t="str">
        <f t="shared" si="4"/>
        <v>20</v>
      </c>
      <c r="E10">
        <f t="shared" si="5"/>
        <v>12</v>
      </c>
      <c r="F10" s="4">
        <f t="shared" ref="F10:F11" si="8">_xlfn.DECIMAL(B10,3)+1</f>
        <v>3</v>
      </c>
      <c r="G10" s="4">
        <f t="shared" si="6"/>
        <v>5</v>
      </c>
      <c r="H10" s="4">
        <f t="shared" si="6"/>
        <v>7</v>
      </c>
    </row>
    <row r="11" spans="2:9" x14ac:dyDescent="0.15">
      <c r="B11" s="4" t="str">
        <f t="shared" si="7"/>
        <v>21</v>
      </c>
      <c r="C11" s="4" t="str">
        <f t="shared" si="4"/>
        <v>00</v>
      </c>
      <c r="D11" s="4" t="str">
        <f t="shared" si="4"/>
        <v>12</v>
      </c>
      <c r="E11">
        <f t="shared" si="5"/>
        <v>12</v>
      </c>
      <c r="F11" s="4">
        <f t="shared" si="8"/>
        <v>8</v>
      </c>
      <c r="G11" s="4">
        <f t="shared" si="6"/>
        <v>1</v>
      </c>
      <c r="H11" s="4">
        <f t="shared" si="6"/>
        <v>6</v>
      </c>
    </row>
    <row r="12" spans="2:9" x14ac:dyDescent="0.15">
      <c r="B12">
        <f t="shared" ref="B12:D12" si="9">SqSum2($B$9:$D$11,B12)</f>
        <v>12</v>
      </c>
      <c r="C12">
        <f t="shared" si="9"/>
        <v>12</v>
      </c>
      <c r="D12">
        <f t="shared" si="9"/>
        <v>12</v>
      </c>
      <c r="E12">
        <f t="shared" si="5"/>
        <v>12</v>
      </c>
    </row>
  </sheetData>
  <phoneticPr fontId="1"/>
  <conditionalFormatting sqref="E3:E7 B7:D7">
    <cfRule type="expression" dxfId="10" priority="3">
      <formula>B3&lt;&gt;3</formula>
    </cfRule>
  </conditionalFormatting>
  <conditionalFormatting sqref="I3:I7 F7:H7">
    <cfRule type="expression" dxfId="9" priority="2">
      <formula>F3&lt;&gt;3</formula>
    </cfRule>
  </conditionalFormatting>
  <conditionalFormatting sqref="E8:E12 B12:D12">
    <cfRule type="expression" dxfId="8" priority="1">
      <formula>B8&lt;&gt;12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4"/>
  <sheetViews>
    <sheetView workbookViewId="0">
      <selection activeCell="B2" sqref="B2:C2"/>
    </sheetView>
  </sheetViews>
  <sheetFormatPr defaultColWidth="3.75" defaultRowHeight="13.5" x14ac:dyDescent="0.15"/>
  <cols>
    <col min="2" max="2" width="3.5" bestFit="1" customWidth="1"/>
    <col min="5" max="5" width="4" customWidth="1"/>
    <col min="17" max="17" width="8.375" bestFit="1" customWidth="1"/>
  </cols>
  <sheetData>
    <row r="2" spans="2:16" x14ac:dyDescent="0.15">
      <c r="B2">
        <v>4</v>
      </c>
      <c r="C2" t="s">
        <v>2</v>
      </c>
    </row>
    <row r="3" spans="2:16" x14ac:dyDescent="0.15">
      <c r="F3">
        <f>SqSum2($B$4:$E$7,F3)</f>
        <v>6</v>
      </c>
      <c r="K3">
        <f>SqSum2($G$4:$J$7,K3)</f>
        <v>6</v>
      </c>
    </row>
    <row r="4" spans="2:16" x14ac:dyDescent="0.15">
      <c r="B4" s="4">
        <v>2</v>
      </c>
      <c r="C4" s="4">
        <v>2</v>
      </c>
      <c r="D4" s="4">
        <v>1</v>
      </c>
      <c r="E4" s="4">
        <v>1</v>
      </c>
      <c r="F4">
        <f t="shared" ref="F4:F8" si="0">SqSum2($B$4:$E$7,F4)</f>
        <v>6</v>
      </c>
      <c r="G4" s="4">
        <v>0</v>
      </c>
      <c r="H4" s="4">
        <v>3</v>
      </c>
      <c r="I4" s="4">
        <v>1</v>
      </c>
      <c r="J4" s="4">
        <v>2</v>
      </c>
      <c r="K4">
        <f t="shared" ref="K4:K8" si="1">SqSum2($G$4:$J$7,K4)</f>
        <v>6</v>
      </c>
    </row>
    <row r="5" spans="2:16" x14ac:dyDescent="0.15">
      <c r="B5" s="4">
        <v>1</v>
      </c>
      <c r="C5" s="4">
        <v>1</v>
      </c>
      <c r="D5" s="4">
        <v>2</v>
      </c>
      <c r="E5" s="4">
        <v>2</v>
      </c>
      <c r="F5">
        <f t="shared" si="0"/>
        <v>6</v>
      </c>
      <c r="G5" s="4">
        <v>0</v>
      </c>
      <c r="H5" s="4">
        <v>3</v>
      </c>
      <c r="I5" s="4">
        <v>1</v>
      </c>
      <c r="J5" s="4">
        <v>2</v>
      </c>
      <c r="K5">
        <f t="shared" si="1"/>
        <v>6</v>
      </c>
    </row>
    <row r="6" spans="2:16" x14ac:dyDescent="0.15">
      <c r="B6" s="4">
        <v>0</v>
      </c>
      <c r="C6" s="4">
        <v>0</v>
      </c>
      <c r="D6" s="4">
        <v>3</v>
      </c>
      <c r="E6" s="4">
        <v>3</v>
      </c>
      <c r="F6">
        <f t="shared" si="0"/>
        <v>6</v>
      </c>
      <c r="G6" s="4">
        <v>3</v>
      </c>
      <c r="H6" s="4">
        <v>0</v>
      </c>
      <c r="I6" s="4">
        <v>2</v>
      </c>
      <c r="J6" s="4">
        <v>1</v>
      </c>
      <c r="K6">
        <f t="shared" si="1"/>
        <v>6</v>
      </c>
    </row>
    <row r="7" spans="2:16" x14ac:dyDescent="0.15">
      <c r="B7" s="4">
        <v>3</v>
      </c>
      <c r="C7" s="4">
        <v>3</v>
      </c>
      <c r="D7" s="4">
        <v>0</v>
      </c>
      <c r="E7" s="4">
        <v>0</v>
      </c>
      <c r="F7">
        <f t="shared" si="0"/>
        <v>6</v>
      </c>
      <c r="G7" s="4">
        <v>3</v>
      </c>
      <c r="H7" s="4">
        <v>0</v>
      </c>
      <c r="I7" s="4">
        <v>2</v>
      </c>
      <c r="J7" s="4">
        <v>1</v>
      </c>
      <c r="K7">
        <f t="shared" si="1"/>
        <v>6</v>
      </c>
    </row>
    <row r="8" spans="2:16" x14ac:dyDescent="0.15">
      <c r="B8">
        <f t="shared" ref="B8:E8" si="2">SqSum2($B$4:$E$7,B8)</f>
        <v>6</v>
      </c>
      <c r="C8">
        <f t="shared" si="2"/>
        <v>6</v>
      </c>
      <c r="D8">
        <f t="shared" si="2"/>
        <v>6</v>
      </c>
      <c r="E8">
        <f t="shared" si="2"/>
        <v>6</v>
      </c>
      <c r="F8">
        <f t="shared" si="0"/>
        <v>6</v>
      </c>
      <c r="G8">
        <f t="shared" ref="G8:J8" si="3">SqSum2($G$4:$J$7,G8)</f>
        <v>6</v>
      </c>
      <c r="H8">
        <f t="shared" si="3"/>
        <v>6</v>
      </c>
      <c r="I8">
        <f t="shared" si="3"/>
        <v>6</v>
      </c>
      <c r="J8">
        <f t="shared" si="3"/>
        <v>6</v>
      </c>
      <c r="K8">
        <f t="shared" si="1"/>
        <v>6</v>
      </c>
    </row>
    <row r="9" spans="2:16" x14ac:dyDescent="0.15">
      <c r="F9">
        <f>SqSum2($B$10:$E$13,F9)</f>
        <v>30</v>
      </c>
    </row>
    <row r="10" spans="2:16" x14ac:dyDescent="0.15">
      <c r="B10" s="4" t="str">
        <f>_xlfn.BASE(B4+G4*4, 4, 2)</f>
        <v>02</v>
      </c>
      <c r="C10" s="4" t="str">
        <f>_xlfn.BASE(C4+H4*4, 4, 2)</f>
        <v>32</v>
      </c>
      <c r="D10" s="4" t="str">
        <f>_xlfn.BASE(D4+I4*4, 4, 2)</f>
        <v>11</v>
      </c>
      <c r="E10" s="4" t="str">
        <f>_xlfn.BASE(E4+J4*4, 4, 2)</f>
        <v>21</v>
      </c>
      <c r="F10">
        <f t="shared" ref="F10:F14" si="4">SqSum2($B$10:$E$13,F10)</f>
        <v>30</v>
      </c>
      <c r="G10" s="4">
        <f>_xlfn.DECIMAL(B10,4)+1</f>
        <v>3</v>
      </c>
      <c r="H10" s="4">
        <f t="shared" ref="H10:J13" si="5">_xlfn.DECIMAL(C10,4)+1</f>
        <v>15</v>
      </c>
      <c r="I10" s="4">
        <f t="shared" si="5"/>
        <v>6</v>
      </c>
      <c r="J10" s="4">
        <f t="shared" si="5"/>
        <v>10</v>
      </c>
      <c r="M10" s="2"/>
      <c r="N10" s="2"/>
      <c r="O10" s="3"/>
      <c r="P10" s="2"/>
    </row>
    <row r="11" spans="2:16" x14ac:dyDescent="0.15">
      <c r="B11" s="4" t="str">
        <f>_xlfn.BASE(B5+G5*4, 4, 2)</f>
        <v>01</v>
      </c>
      <c r="C11" s="4" t="str">
        <f>_xlfn.BASE(C5+H5*4, 4, 2)</f>
        <v>31</v>
      </c>
      <c r="D11" s="4" t="str">
        <f>_xlfn.BASE(D5+I5*4, 4, 2)</f>
        <v>12</v>
      </c>
      <c r="E11" s="4" t="str">
        <f>_xlfn.BASE(E5+J5*4, 4, 2)</f>
        <v>22</v>
      </c>
      <c r="F11">
        <f t="shared" si="4"/>
        <v>30</v>
      </c>
      <c r="G11" s="4">
        <f t="shared" ref="G11:G13" si="6">_xlfn.DECIMAL(B11,4)+1</f>
        <v>2</v>
      </c>
      <c r="H11" s="4">
        <f t="shared" si="5"/>
        <v>14</v>
      </c>
      <c r="I11" s="4">
        <f t="shared" si="5"/>
        <v>7</v>
      </c>
      <c r="J11" s="4">
        <f t="shared" si="5"/>
        <v>11</v>
      </c>
      <c r="M11" s="2"/>
      <c r="N11" s="3"/>
      <c r="O11" s="2"/>
      <c r="P11" s="2"/>
    </row>
    <row r="12" spans="2:16" x14ac:dyDescent="0.15">
      <c r="B12" s="4" t="str">
        <f>_xlfn.BASE(B6+G6*4, 4, 2)</f>
        <v>30</v>
      </c>
      <c r="C12" s="4" t="str">
        <f>_xlfn.BASE(C6+H6*4, 4, 2)</f>
        <v>00</v>
      </c>
      <c r="D12" s="4" t="str">
        <f>_xlfn.BASE(D6+I6*4, 4, 2)</f>
        <v>23</v>
      </c>
      <c r="E12" s="4" t="str">
        <f>_xlfn.BASE(E6+J6*4, 4, 2)</f>
        <v>13</v>
      </c>
      <c r="F12">
        <f t="shared" si="4"/>
        <v>30</v>
      </c>
      <c r="G12" s="4">
        <f t="shared" si="6"/>
        <v>13</v>
      </c>
      <c r="H12" s="4">
        <f t="shared" si="5"/>
        <v>1</v>
      </c>
      <c r="I12" s="4">
        <f t="shared" si="5"/>
        <v>12</v>
      </c>
      <c r="J12" s="4">
        <f t="shared" si="5"/>
        <v>8</v>
      </c>
      <c r="M12" s="3"/>
      <c r="N12" s="2"/>
      <c r="O12" s="2"/>
      <c r="P12" s="2"/>
    </row>
    <row r="13" spans="2:16" x14ac:dyDescent="0.15">
      <c r="B13" s="4" t="str">
        <f>_xlfn.BASE(B7+G7*4, 4, 2)</f>
        <v>33</v>
      </c>
      <c r="C13" s="4" t="str">
        <f>_xlfn.BASE(C7+H7*4, 4, 2)</f>
        <v>03</v>
      </c>
      <c r="D13" s="4" t="str">
        <f>_xlfn.BASE(D7+I7*4, 4, 2)</f>
        <v>20</v>
      </c>
      <c r="E13" s="4" t="str">
        <f>_xlfn.BASE(E7+J7*4, 4, 2)</f>
        <v>10</v>
      </c>
      <c r="F13">
        <f t="shared" si="4"/>
        <v>30</v>
      </c>
      <c r="G13" s="4">
        <f t="shared" si="6"/>
        <v>16</v>
      </c>
      <c r="H13" s="4">
        <f t="shared" si="5"/>
        <v>4</v>
      </c>
      <c r="I13" s="4">
        <f t="shared" si="5"/>
        <v>9</v>
      </c>
      <c r="J13" s="4">
        <f t="shared" si="5"/>
        <v>5</v>
      </c>
      <c r="M13" s="2"/>
      <c r="N13" s="2"/>
      <c r="O13" s="2"/>
      <c r="P13" s="3"/>
    </row>
    <row r="14" spans="2:16" x14ac:dyDescent="0.15">
      <c r="B14">
        <f t="shared" ref="B14:E14" si="7">SqSum2($B$10:$E$13,B14)</f>
        <v>30</v>
      </c>
      <c r="C14">
        <f t="shared" si="7"/>
        <v>30</v>
      </c>
      <c r="D14">
        <f t="shared" si="7"/>
        <v>30</v>
      </c>
      <c r="E14">
        <f t="shared" si="7"/>
        <v>30</v>
      </c>
      <c r="F14">
        <f t="shared" si="4"/>
        <v>30</v>
      </c>
    </row>
  </sheetData>
  <phoneticPr fontId="1"/>
  <conditionalFormatting sqref="B10:E13">
    <cfRule type="duplicateValues" dxfId="7" priority="10"/>
  </conditionalFormatting>
  <conditionalFormatting sqref="F9:F14 B14:E14">
    <cfRule type="expression" dxfId="6" priority="8">
      <formula>B9&lt;&gt;30</formula>
    </cfRule>
  </conditionalFormatting>
  <conditionalFormatting sqref="F3:F8 B8:E8">
    <cfRule type="expression" dxfId="5" priority="5">
      <formula>B3&lt;&gt;6</formula>
    </cfRule>
  </conditionalFormatting>
  <conditionalFormatting sqref="K3:K8 G8:J8">
    <cfRule type="expression" dxfId="4" priority="4">
      <formula>G3&lt;&gt;6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F0727-1F31-47A9-8166-B4263BD33FD4}">
  <sheetPr codeName="Sheet6"/>
  <dimension ref="B2:M17"/>
  <sheetViews>
    <sheetView topLeftCell="A7" workbookViewId="0">
      <selection activeCell="M21" sqref="M21"/>
    </sheetView>
  </sheetViews>
  <sheetFormatPr defaultColWidth="3.75" defaultRowHeight="13.5" x14ac:dyDescent="0.15"/>
  <sheetData>
    <row r="2" spans="2:13" x14ac:dyDescent="0.15">
      <c r="B2">
        <v>5</v>
      </c>
      <c r="C2" t="s">
        <v>2</v>
      </c>
    </row>
    <row r="3" spans="2:13" x14ac:dyDescent="0.15">
      <c r="G3">
        <f>SqSum2($B$4:$F$8,G3)</f>
        <v>10</v>
      </c>
      <c r="M3">
        <f>SqSum2($H$4:$L$8,M3)</f>
        <v>10</v>
      </c>
    </row>
    <row r="4" spans="2:13" x14ac:dyDescent="0.15">
      <c r="B4" s="4">
        <v>2</v>
      </c>
      <c r="C4" s="4">
        <v>4</v>
      </c>
      <c r="D4" s="4">
        <v>3</v>
      </c>
      <c r="E4" s="4">
        <v>0</v>
      </c>
      <c r="F4" s="4">
        <v>1</v>
      </c>
      <c r="G4">
        <f t="shared" ref="G4:G9" si="0">SqSum2($B$4:$F$8,G4)</f>
        <v>10</v>
      </c>
      <c r="H4" s="4">
        <v>1</v>
      </c>
      <c r="I4" s="4">
        <v>3</v>
      </c>
      <c r="J4" s="4">
        <v>4</v>
      </c>
      <c r="K4" s="4">
        <v>0</v>
      </c>
      <c r="L4" s="4">
        <v>2</v>
      </c>
      <c r="M4">
        <f t="shared" ref="M4:M9" si="1">SqSum2($H$4:$L$8,M4)</f>
        <v>10</v>
      </c>
    </row>
    <row r="5" spans="2:13" x14ac:dyDescent="0.15">
      <c r="B5" s="4">
        <v>1</v>
      </c>
      <c r="C5" s="4">
        <v>2</v>
      </c>
      <c r="D5" s="4">
        <v>4</v>
      </c>
      <c r="E5" s="4">
        <v>3</v>
      </c>
      <c r="F5" s="4">
        <v>0</v>
      </c>
      <c r="G5">
        <f t="shared" si="0"/>
        <v>10</v>
      </c>
      <c r="H5" s="4">
        <v>3</v>
      </c>
      <c r="I5" s="4">
        <v>4</v>
      </c>
      <c r="J5" s="4">
        <v>0</v>
      </c>
      <c r="K5" s="4">
        <v>2</v>
      </c>
      <c r="L5" s="4">
        <v>1</v>
      </c>
      <c r="M5">
        <f t="shared" si="1"/>
        <v>10</v>
      </c>
    </row>
    <row r="6" spans="2:13" x14ac:dyDescent="0.15">
      <c r="B6" s="4">
        <v>0</v>
      </c>
      <c r="C6" s="4">
        <v>1</v>
      </c>
      <c r="D6" s="4">
        <v>2</v>
      </c>
      <c r="E6" s="4">
        <v>4</v>
      </c>
      <c r="F6" s="4">
        <v>3</v>
      </c>
      <c r="G6">
        <f t="shared" si="0"/>
        <v>10</v>
      </c>
      <c r="H6" s="4">
        <v>4</v>
      </c>
      <c r="I6" s="4">
        <v>0</v>
      </c>
      <c r="J6" s="4">
        <v>2</v>
      </c>
      <c r="K6" s="4">
        <v>1</v>
      </c>
      <c r="L6" s="4">
        <v>3</v>
      </c>
      <c r="M6">
        <f t="shared" si="1"/>
        <v>10</v>
      </c>
    </row>
    <row r="7" spans="2:13" x14ac:dyDescent="0.15">
      <c r="B7" s="4">
        <v>3</v>
      </c>
      <c r="C7" s="4">
        <v>0</v>
      </c>
      <c r="D7" s="4">
        <v>1</v>
      </c>
      <c r="E7" s="4">
        <v>2</v>
      </c>
      <c r="F7" s="4">
        <v>4</v>
      </c>
      <c r="G7">
        <f t="shared" si="0"/>
        <v>10</v>
      </c>
      <c r="H7" s="4">
        <v>0</v>
      </c>
      <c r="I7" s="4">
        <v>2</v>
      </c>
      <c r="J7" s="4">
        <v>1</v>
      </c>
      <c r="K7" s="4">
        <v>3</v>
      </c>
      <c r="L7" s="4">
        <v>4</v>
      </c>
      <c r="M7">
        <f t="shared" si="1"/>
        <v>10</v>
      </c>
    </row>
    <row r="8" spans="2:13" x14ac:dyDescent="0.15">
      <c r="B8" s="4">
        <v>4</v>
      </c>
      <c r="C8" s="4">
        <v>3</v>
      </c>
      <c r="D8" s="4">
        <v>0</v>
      </c>
      <c r="E8" s="4">
        <v>1</v>
      </c>
      <c r="F8" s="4">
        <v>2</v>
      </c>
      <c r="G8">
        <f t="shared" si="0"/>
        <v>10</v>
      </c>
      <c r="H8" s="4">
        <v>2</v>
      </c>
      <c r="I8" s="4">
        <v>1</v>
      </c>
      <c r="J8" s="4">
        <v>3</v>
      </c>
      <c r="K8" s="4">
        <v>4</v>
      </c>
      <c r="L8" s="4">
        <v>0</v>
      </c>
      <c r="M8">
        <f t="shared" si="1"/>
        <v>10</v>
      </c>
    </row>
    <row r="9" spans="2:13" x14ac:dyDescent="0.15">
      <c r="B9">
        <f t="shared" ref="B9:F9" si="2">SqSum2($B$4:$F$8,B9)</f>
        <v>10</v>
      </c>
      <c r="C9">
        <f t="shared" si="2"/>
        <v>10</v>
      </c>
      <c r="D9">
        <f t="shared" si="2"/>
        <v>10</v>
      </c>
      <c r="E9">
        <f t="shared" si="2"/>
        <v>10</v>
      </c>
      <c r="F9">
        <f t="shared" si="2"/>
        <v>10</v>
      </c>
      <c r="G9">
        <f t="shared" si="0"/>
        <v>10</v>
      </c>
      <c r="H9">
        <f t="shared" ref="H9:L9" si="3">SqSum2($H$4:$L$8,H9)</f>
        <v>10</v>
      </c>
      <c r="I9">
        <f t="shared" si="3"/>
        <v>10</v>
      </c>
      <c r="J9">
        <f t="shared" si="3"/>
        <v>10</v>
      </c>
      <c r="K9">
        <f t="shared" si="3"/>
        <v>10</v>
      </c>
      <c r="L9">
        <f t="shared" si="3"/>
        <v>10</v>
      </c>
      <c r="M9">
        <f t="shared" si="1"/>
        <v>10</v>
      </c>
    </row>
    <row r="11" spans="2:13" x14ac:dyDescent="0.15">
      <c r="G11">
        <f>SqSum2($B$12:$F$16,G11)</f>
        <v>60</v>
      </c>
    </row>
    <row r="12" spans="2:13" x14ac:dyDescent="0.15">
      <c r="B12" s="4" t="str">
        <f>_xlfn.BASE(B4+H4*5, 5, 2)</f>
        <v>12</v>
      </c>
      <c r="C12" s="4" t="str">
        <f t="shared" ref="C12:F16" si="4">_xlfn.BASE(C4+I4*5, 5, 2)</f>
        <v>34</v>
      </c>
      <c r="D12" s="4" t="str">
        <f t="shared" si="4"/>
        <v>43</v>
      </c>
      <c r="E12" s="4" t="str">
        <f t="shared" si="4"/>
        <v>00</v>
      </c>
      <c r="F12" s="4" t="str">
        <f t="shared" si="4"/>
        <v>21</v>
      </c>
      <c r="G12">
        <f t="shared" ref="G12:G17" si="5">SqSum2($B$12:$F$16,G12)</f>
        <v>60</v>
      </c>
      <c r="H12" s="4">
        <f>_xlfn.DECIMAL(B12,5)+1</f>
        <v>8</v>
      </c>
      <c r="I12" s="4">
        <f t="shared" ref="I12:L16" si="6">_xlfn.DECIMAL(C12,5)+1</f>
        <v>20</v>
      </c>
      <c r="J12" s="4">
        <f t="shared" si="6"/>
        <v>24</v>
      </c>
      <c r="K12" s="4">
        <f t="shared" si="6"/>
        <v>1</v>
      </c>
      <c r="L12" s="4">
        <f t="shared" si="6"/>
        <v>12</v>
      </c>
    </row>
    <row r="13" spans="2:13" x14ac:dyDescent="0.15">
      <c r="B13" s="4" t="str">
        <f t="shared" ref="B13:B16" si="7">_xlfn.BASE(B5+H5*5, 5, 2)</f>
        <v>31</v>
      </c>
      <c r="C13" s="4" t="str">
        <f t="shared" si="4"/>
        <v>42</v>
      </c>
      <c r="D13" s="4" t="str">
        <f t="shared" si="4"/>
        <v>04</v>
      </c>
      <c r="E13" s="4" t="str">
        <f t="shared" si="4"/>
        <v>23</v>
      </c>
      <c r="F13" s="4" t="str">
        <f t="shared" si="4"/>
        <v>10</v>
      </c>
      <c r="G13">
        <f t="shared" si="5"/>
        <v>60</v>
      </c>
      <c r="H13" s="4">
        <f t="shared" ref="H13:H16" si="8">_xlfn.DECIMAL(B13,5)+1</f>
        <v>17</v>
      </c>
      <c r="I13" s="4">
        <f t="shared" si="6"/>
        <v>23</v>
      </c>
      <c r="J13" s="4">
        <f t="shared" si="6"/>
        <v>5</v>
      </c>
      <c r="K13" s="4">
        <f t="shared" si="6"/>
        <v>14</v>
      </c>
      <c r="L13" s="4">
        <f t="shared" si="6"/>
        <v>6</v>
      </c>
    </row>
    <row r="14" spans="2:13" x14ac:dyDescent="0.15">
      <c r="B14" s="4" t="str">
        <f t="shared" si="7"/>
        <v>40</v>
      </c>
      <c r="C14" s="4" t="str">
        <f t="shared" si="4"/>
        <v>01</v>
      </c>
      <c r="D14" s="4" t="str">
        <f t="shared" si="4"/>
        <v>22</v>
      </c>
      <c r="E14" s="4" t="str">
        <f t="shared" si="4"/>
        <v>14</v>
      </c>
      <c r="F14" s="4" t="str">
        <f t="shared" si="4"/>
        <v>33</v>
      </c>
      <c r="G14">
        <f t="shared" si="5"/>
        <v>60</v>
      </c>
      <c r="H14" s="4">
        <f t="shared" si="8"/>
        <v>21</v>
      </c>
      <c r="I14" s="4">
        <f t="shared" si="6"/>
        <v>2</v>
      </c>
      <c r="J14" s="4">
        <f t="shared" si="6"/>
        <v>13</v>
      </c>
      <c r="K14" s="4">
        <f t="shared" si="6"/>
        <v>10</v>
      </c>
      <c r="L14" s="4">
        <f t="shared" si="6"/>
        <v>19</v>
      </c>
    </row>
    <row r="15" spans="2:13" x14ac:dyDescent="0.15">
      <c r="B15" s="4" t="str">
        <f t="shared" si="7"/>
        <v>03</v>
      </c>
      <c r="C15" s="4" t="str">
        <f t="shared" si="4"/>
        <v>20</v>
      </c>
      <c r="D15" s="4" t="str">
        <f t="shared" si="4"/>
        <v>11</v>
      </c>
      <c r="E15" s="4" t="str">
        <f t="shared" si="4"/>
        <v>32</v>
      </c>
      <c r="F15" s="4" t="str">
        <f t="shared" si="4"/>
        <v>44</v>
      </c>
      <c r="G15">
        <f t="shared" si="5"/>
        <v>60</v>
      </c>
      <c r="H15" s="4">
        <f t="shared" si="8"/>
        <v>4</v>
      </c>
      <c r="I15" s="4">
        <f t="shared" si="6"/>
        <v>11</v>
      </c>
      <c r="J15" s="4">
        <f t="shared" si="6"/>
        <v>7</v>
      </c>
      <c r="K15" s="4">
        <f t="shared" si="6"/>
        <v>18</v>
      </c>
      <c r="L15" s="4">
        <f t="shared" si="6"/>
        <v>25</v>
      </c>
    </row>
    <row r="16" spans="2:13" x14ac:dyDescent="0.15">
      <c r="B16" s="4" t="str">
        <f t="shared" si="7"/>
        <v>24</v>
      </c>
      <c r="C16" s="4" t="str">
        <f t="shared" si="4"/>
        <v>13</v>
      </c>
      <c r="D16" s="4" t="str">
        <f t="shared" si="4"/>
        <v>30</v>
      </c>
      <c r="E16" s="4" t="str">
        <f t="shared" si="4"/>
        <v>41</v>
      </c>
      <c r="F16" s="4" t="str">
        <f t="shared" si="4"/>
        <v>02</v>
      </c>
      <c r="G16">
        <f t="shared" si="5"/>
        <v>60</v>
      </c>
      <c r="H16" s="4">
        <f t="shared" si="8"/>
        <v>15</v>
      </c>
      <c r="I16" s="4">
        <f t="shared" si="6"/>
        <v>9</v>
      </c>
      <c r="J16" s="4">
        <f t="shared" si="6"/>
        <v>16</v>
      </c>
      <c r="K16" s="4">
        <f t="shared" si="6"/>
        <v>22</v>
      </c>
      <c r="L16" s="4">
        <f t="shared" si="6"/>
        <v>3</v>
      </c>
    </row>
    <row r="17" spans="2:7" x14ac:dyDescent="0.15">
      <c r="B17">
        <f t="shared" ref="B17:F17" si="9">SqSum2($B$12:$F$16,B17)</f>
        <v>60</v>
      </c>
      <c r="C17">
        <f t="shared" si="9"/>
        <v>60</v>
      </c>
      <c r="D17">
        <f t="shared" si="9"/>
        <v>60</v>
      </c>
      <c r="E17">
        <f t="shared" si="9"/>
        <v>60</v>
      </c>
      <c r="F17">
        <f t="shared" si="9"/>
        <v>60</v>
      </c>
      <c r="G17">
        <f t="shared" si="5"/>
        <v>60</v>
      </c>
    </row>
  </sheetData>
  <phoneticPr fontId="1"/>
  <conditionalFormatting sqref="G3:G9 B9:F9">
    <cfRule type="expression" dxfId="3" priority="4">
      <formula>B3&lt;&gt;10</formula>
    </cfRule>
  </conditionalFormatting>
  <conditionalFormatting sqref="M3:M9 H9:L9">
    <cfRule type="expression" dxfId="2" priority="3">
      <formula>H3&lt;&gt;10</formula>
    </cfRule>
  </conditionalFormatting>
  <conditionalFormatting sqref="B12:F16">
    <cfRule type="duplicateValues" dxfId="1" priority="2"/>
  </conditionalFormatting>
  <conditionalFormatting sqref="G11:G17 B17:F17">
    <cfRule type="expression" dxfId="0" priority="1">
      <formula>B11&lt;&gt;60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説明</vt:lpstr>
      <vt:lpstr>３次</vt:lpstr>
      <vt:lpstr>４次</vt:lpstr>
      <vt:lpstr>５次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友松創</dc:creator>
  <cp:lastModifiedBy>友松創</cp:lastModifiedBy>
  <dcterms:created xsi:type="dcterms:W3CDTF">2020-08-02T08:56:05Z</dcterms:created>
  <dcterms:modified xsi:type="dcterms:W3CDTF">2020-08-05T18:04:37Z</dcterms:modified>
</cp:coreProperties>
</file>